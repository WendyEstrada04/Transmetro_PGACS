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ificación" sheetId="1" state="visible" r:id="rId1"/>
    <sheet xmlns:r="http://schemas.openxmlformats.org/officeDocument/2006/relationships" name="FPA" sheetId="2" state="visible" r:id="rId2"/>
    <sheet xmlns:r="http://schemas.openxmlformats.org/officeDocument/2006/relationships" name="Co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Q&quot;#,##0.00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2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4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  <col width="8" customWidth="1" min="4" max="4"/>
    <col width="12" customWidth="1" min="5" max="5"/>
  </cols>
  <sheetData>
    <row r="1">
      <c r="A1" s="1" t="inlineStr">
        <is>
          <t>Proyecto ACS – Sistema de Control Transmetro | Clasificación de funciones (FPA-IFPUG)</t>
        </is>
      </c>
    </row>
    <row r="3">
      <c r="A3" s="2" t="inlineStr">
        <is>
          <t>No.</t>
        </is>
      </c>
      <c r="B3" s="2" t="inlineStr">
        <is>
          <t>Módulo</t>
        </is>
      </c>
      <c r="C3" s="2" t="inlineStr">
        <is>
          <t>Función</t>
        </is>
      </c>
      <c r="D3" s="2" t="inlineStr">
        <is>
          <t>Tipo</t>
        </is>
      </c>
      <c r="E3" s="2" t="inlineStr">
        <is>
          <t>Estado (I/P)</t>
        </is>
      </c>
    </row>
    <row r="4">
      <c r="A4" s="3" t="n">
        <v>1</v>
      </c>
      <c r="B4" s="3" t="inlineStr">
        <is>
          <t>1. Infraestructura</t>
        </is>
      </c>
      <c r="C4" s="4" t="inlineStr">
        <is>
          <t>Registrar y actualizar municipalidades</t>
        </is>
      </c>
      <c r="D4" s="3" t="inlineStr">
        <is>
          <t>EI</t>
        </is>
      </c>
      <c r="E4" s="3" t="inlineStr">
        <is>
          <t>I</t>
        </is>
      </c>
    </row>
    <row r="5">
      <c r="A5" s="3" t="n">
        <v>2</v>
      </c>
      <c r="B5" s="3" t="inlineStr">
        <is>
          <t>1. Infraestructura</t>
        </is>
      </c>
      <c r="C5" s="4" t="inlineStr">
        <is>
          <t>Registrar y actualizar líneas (código, nombre, tipo de servicio, tarifa, color)</t>
        </is>
      </c>
      <c r="D5" s="3" t="inlineStr">
        <is>
          <t>EI</t>
        </is>
      </c>
      <c r="E5" s="3" t="inlineStr">
        <is>
          <t>I</t>
        </is>
      </c>
    </row>
    <row r="6">
      <c r="A6" s="3" t="n">
        <v>3</v>
      </c>
      <c r="B6" s="3" t="inlineStr">
        <is>
          <t>1. Infraestructura</t>
        </is>
      </c>
      <c r="C6" s="4" t="inlineStr">
        <is>
          <t>Asignar estaciones a una línea en orden (distancia calculada por trigger)</t>
        </is>
      </c>
      <c r="D6" s="3" t="inlineStr">
        <is>
          <t>EI</t>
        </is>
      </c>
      <c r="E6" s="3" t="inlineStr">
        <is>
          <t>I</t>
        </is>
      </c>
    </row>
    <row r="7">
      <c r="A7" s="3" t="n">
        <v>4</v>
      </c>
      <c r="B7" s="3" t="inlineStr">
        <is>
          <t>1. Infraestructura</t>
        </is>
      </c>
      <c r="C7" s="4" t="inlineStr">
        <is>
          <t>Registrar y actualizar estaciones (dirección, aforo, coordenadas)</t>
        </is>
      </c>
      <c r="D7" s="3" t="inlineStr">
        <is>
          <t>EI</t>
        </is>
      </c>
      <c r="E7" s="3" t="inlineStr">
        <is>
          <t>I</t>
        </is>
      </c>
    </row>
    <row r="8">
      <c r="A8" s="3" t="n">
        <v>5</v>
      </c>
      <c r="B8" s="3" t="inlineStr">
        <is>
          <t>1. Infraestructura</t>
        </is>
      </c>
      <c r="C8" s="4" t="inlineStr">
        <is>
          <t>Registrar accesos (mínimo 2) con su molinete</t>
        </is>
      </c>
      <c r="D8" s="3" t="inlineStr">
        <is>
          <t>EI</t>
        </is>
      </c>
      <c r="E8" s="3" t="inlineStr">
        <is>
          <t>I</t>
        </is>
      </c>
    </row>
    <row r="9">
      <c r="A9" s="3" t="n">
        <v>6</v>
      </c>
      <c r="B9" s="3" t="inlineStr">
        <is>
          <t>1. Infraestructura</t>
        </is>
      </c>
      <c r="C9" s="4" t="inlineStr">
        <is>
          <t>Registrar parqueos por estación</t>
        </is>
      </c>
      <c r="D9" s="3" t="inlineStr">
        <is>
          <t>EI</t>
        </is>
      </c>
      <c r="E9" s="3" t="inlineStr">
        <is>
          <t>I</t>
        </is>
      </c>
    </row>
    <row r="10">
      <c r="A10" s="3" t="n">
        <v>7</v>
      </c>
      <c r="B10" s="3" t="inlineStr">
        <is>
          <t>1. Infraestructura</t>
        </is>
      </c>
      <c r="C10" s="4" t="inlineStr">
        <is>
          <t>Registrar horarios de servicio por línea</t>
        </is>
      </c>
      <c r="D10" s="3" t="inlineStr">
        <is>
          <t>EI</t>
        </is>
      </c>
      <c r="E10" s="3" t="inlineStr">
        <is>
          <t>I</t>
        </is>
      </c>
    </row>
    <row r="11">
      <c r="A11" s="3" t="n">
        <v>8</v>
      </c>
      <c r="B11" s="3" t="inlineStr">
        <is>
          <t>1. Infraestructura</t>
        </is>
      </c>
      <c r="C11" s="4" t="inlineStr">
        <is>
          <t>Editar el trazo de la línea e importar mapa KML/KMZ oficial</t>
        </is>
      </c>
      <c r="D11" s="3" t="inlineStr">
        <is>
          <t>EI</t>
        </is>
      </c>
      <c r="E11" s="3" t="inlineStr">
        <is>
          <t>I</t>
        </is>
      </c>
    </row>
    <row r="12">
      <c r="A12" s="3" t="n">
        <v>9</v>
      </c>
      <c r="B12" s="3" t="inlineStr">
        <is>
          <t>2. Flota</t>
        </is>
      </c>
      <c r="C12" s="4" t="inlineStr">
        <is>
          <t>Registrar buses y asignarlos a una línea (mínimo n, máximo 2n)</t>
        </is>
      </c>
      <c r="D12" s="3" t="inlineStr">
        <is>
          <t>EI</t>
        </is>
      </c>
      <c r="E12" s="3" t="inlineStr">
        <is>
          <t>I</t>
        </is>
      </c>
    </row>
    <row r="13">
      <c r="A13" s="3" t="n">
        <v>10</v>
      </c>
      <c r="B13" s="3" t="inlineStr">
        <is>
          <t>2. Flota</t>
        </is>
      </c>
      <c r="C13" s="4" t="inlineStr">
        <is>
          <t>Cambiar el parqueo de un bus sin dejarlo sin parqueo (sp_cambiar_parqueo_bus)</t>
        </is>
      </c>
      <c r="D13" s="3" t="inlineStr">
        <is>
          <t>EI</t>
        </is>
      </c>
      <c r="E13" s="3" t="inlineStr">
        <is>
          <t>I</t>
        </is>
      </c>
    </row>
    <row r="14">
      <c r="A14" s="3" t="n">
        <v>11</v>
      </c>
      <c r="B14" s="3" t="inlineStr">
        <is>
          <t>2. Flota</t>
        </is>
      </c>
      <c r="C14" s="4" t="inlineStr">
        <is>
          <t>Registrar viajes y visitas a estaciones (llegada, salida, ocupación)</t>
        </is>
      </c>
      <c r="D14" s="3" t="inlineStr">
        <is>
          <t>EI</t>
        </is>
      </c>
      <c r="E14" s="3" t="inlineStr">
        <is>
          <t>P</t>
        </is>
      </c>
    </row>
    <row r="15">
      <c r="A15" s="3" t="n">
        <v>12</v>
      </c>
      <c r="B15" s="3" t="inlineStr">
        <is>
          <t>3. Personal</t>
        </is>
      </c>
      <c r="C15" s="4" t="inlineStr">
        <is>
          <t>Registrar pilotos (historial educativo, residencia, comunicación)</t>
        </is>
      </c>
      <c r="D15" s="3" t="inlineStr">
        <is>
          <t>EI</t>
        </is>
      </c>
      <c r="E15" s="3" t="inlineStr">
        <is>
          <t>I</t>
        </is>
      </c>
    </row>
    <row r="16">
      <c r="A16" s="3" t="n">
        <v>13</v>
      </c>
      <c r="B16" s="3" t="inlineStr">
        <is>
          <t>3. Personal</t>
        </is>
      </c>
      <c r="C16" s="4" t="inlineStr">
        <is>
          <t>Registrar seguridad y asignarlo a un acceso (mínimo 1 por acceso)</t>
        </is>
      </c>
      <c r="D16" s="3" t="inlineStr">
        <is>
          <t>EI</t>
        </is>
      </c>
      <c r="E16" s="3" t="inlineStr">
        <is>
          <t>I</t>
        </is>
      </c>
    </row>
    <row r="17">
      <c r="A17" s="3" t="n">
        <v>14</v>
      </c>
      <c r="B17" s="3" t="inlineStr">
        <is>
          <t>3. Personal</t>
        </is>
      </c>
      <c r="C17" s="4" t="inlineStr">
        <is>
          <t>Registrar operadores y asignarlos a la PC de su estación</t>
        </is>
      </c>
      <c r="D17" s="3" t="inlineStr">
        <is>
          <t>EI</t>
        </is>
      </c>
      <c r="E17" s="3" t="inlineStr">
        <is>
          <t>I</t>
        </is>
      </c>
    </row>
    <row r="18">
      <c r="A18" s="3" t="n">
        <v>15</v>
      </c>
      <c r="B18" s="3" t="inlineStr">
        <is>
          <t>4. Tarjeta y pagos</t>
        </is>
      </c>
      <c r="C18" s="4" t="inlineStr">
        <is>
          <t>Emitir Tarjeta Ciudadana (Q20.00 con 5 viajes gratis)</t>
        </is>
      </c>
      <c r="D18" s="3" t="inlineStr">
        <is>
          <t>EI</t>
        </is>
      </c>
      <c r="E18" s="3" t="inlineStr">
        <is>
          <t>I</t>
        </is>
      </c>
    </row>
    <row r="19">
      <c r="A19" s="3" t="n">
        <v>16</v>
      </c>
      <c r="B19" s="3" t="inlineStr">
        <is>
          <t>4. Tarjeta y pagos</t>
        </is>
      </c>
      <c r="C19" s="4" t="inlineStr">
        <is>
          <t>Recargar tarjeta (Q5.00 a Q200.00)</t>
        </is>
      </c>
      <c r="D19" s="3" t="inlineStr">
        <is>
          <t>EI</t>
        </is>
      </c>
      <c r="E19" s="3" t="inlineStr">
        <is>
          <t>I</t>
        </is>
      </c>
    </row>
    <row r="20">
      <c r="A20" s="3" t="n">
        <v>17</v>
      </c>
      <c r="B20" s="3" t="inlineStr">
        <is>
          <t>4. Tarjeta y pagos</t>
        </is>
      </c>
      <c r="C20" s="4" t="inlineStr">
        <is>
          <t>Bloquear o reactivar una tarjeta</t>
        </is>
      </c>
      <c r="D20" s="3" t="inlineStr">
        <is>
          <t>EI</t>
        </is>
      </c>
      <c r="E20" s="3" t="inlineStr">
        <is>
          <t>I</t>
        </is>
      </c>
    </row>
    <row r="21">
      <c r="A21" s="3" t="n">
        <v>18</v>
      </c>
      <c r="B21" s="3" t="inlineStr">
        <is>
          <t>4. Tarjeta y pagos</t>
        </is>
      </c>
      <c r="C21" s="4" t="inlineStr">
        <is>
          <t>Registrar pase en molinete (Tarjeta Ciudadana o tarjeta bancaria)</t>
        </is>
      </c>
      <c r="D21" s="3" t="inlineStr">
        <is>
          <t>EI</t>
        </is>
      </c>
      <c r="E21" s="3" t="inlineStr">
        <is>
          <t>I</t>
        </is>
      </c>
    </row>
    <row r="22">
      <c r="A22" s="3" t="n">
        <v>19</v>
      </c>
      <c r="B22" s="3" t="inlineStr">
        <is>
          <t>5. Operación de estación</t>
        </is>
      </c>
      <c r="C22" s="4" t="inlineStr">
        <is>
          <t>Actualizar el aforo actual de la estación</t>
        </is>
      </c>
      <c r="D22" s="3" t="inlineStr">
        <is>
          <t>EI</t>
        </is>
      </c>
      <c r="E22" s="3" t="inlineStr">
        <is>
          <t>I</t>
        </is>
      </c>
    </row>
    <row r="23">
      <c r="A23" s="3" t="n">
        <v>20</v>
      </c>
      <c r="B23" s="3" t="inlineStr">
        <is>
          <t>5. Operación de estación</t>
        </is>
      </c>
      <c r="C23" s="4" t="inlineStr">
        <is>
          <t>Atender alerta de refuerzo (solicitar bus)</t>
        </is>
      </c>
      <c r="D23" s="3" t="inlineStr">
        <is>
          <t>EI</t>
        </is>
      </c>
      <c r="E23" s="3" t="inlineStr">
        <is>
          <t>I</t>
        </is>
      </c>
    </row>
    <row r="24">
      <c r="A24" s="3" t="n">
        <v>21</v>
      </c>
      <c r="B24" s="3" t="inlineStr">
        <is>
          <t>6. Seguridad</t>
        </is>
      </c>
      <c r="C24" s="4" t="inlineStr">
        <is>
          <t>Iniciar y cerrar sesión con control de rol</t>
        </is>
      </c>
      <c r="D24" s="3" t="inlineStr">
        <is>
          <t>EI</t>
        </is>
      </c>
      <c r="E24" s="3" t="inlineStr">
        <is>
          <t>I</t>
        </is>
      </c>
    </row>
    <row r="25">
      <c r="A25" s="3" t="n">
        <v>22</v>
      </c>
      <c r="B25" s="3" t="inlineStr">
        <is>
          <t>5. Operación de estación</t>
        </is>
      </c>
      <c r="C25" s="4" t="inlineStr">
        <is>
          <t>Alerta automática de refuerzo al superar 150 % del aforo</t>
        </is>
      </c>
      <c r="D25" s="3" t="inlineStr">
        <is>
          <t>EO</t>
        </is>
      </c>
      <c r="E25" s="3" t="inlineStr">
        <is>
          <t>I</t>
        </is>
      </c>
    </row>
    <row r="26">
      <c r="A26" s="3" t="n">
        <v>23</v>
      </c>
      <c r="B26" s="3" t="inlineStr">
        <is>
          <t>2. Flota</t>
        </is>
      </c>
      <c r="C26" s="4" t="inlineStr">
        <is>
          <t>Cálculo de espera extra de 5 min cuando la ocupación es menor a 25 %</t>
        </is>
      </c>
      <c r="D26" s="3" t="inlineStr">
        <is>
          <t>EO</t>
        </is>
      </c>
      <c r="E26" s="3" t="inlineStr">
        <is>
          <t>I</t>
        </is>
      </c>
    </row>
    <row r="27">
      <c r="A27" s="3" t="n">
        <v>24</v>
      </c>
      <c r="B27" s="3" t="inlineStr">
        <is>
          <t>7. Reportes</t>
        </is>
      </c>
      <c r="C27" s="4" t="inlineStr">
        <is>
          <t>Reporte de estaciones (líneas, accesos, parqueos, aforo)</t>
        </is>
      </c>
      <c r="D27" s="3" t="inlineStr">
        <is>
          <t>EO</t>
        </is>
      </c>
      <c r="E27" s="3" t="inlineStr">
        <is>
          <t>I</t>
        </is>
      </c>
    </row>
    <row r="28">
      <c r="A28" s="3" t="n">
        <v>25</v>
      </c>
      <c r="B28" s="3" t="inlineStr">
        <is>
          <t>7. Reportes</t>
        </is>
      </c>
      <c r="C28" s="4" t="inlineStr">
        <is>
          <t>Reporte de líneas (estaciones, distancia, flota mínima y máxima)</t>
        </is>
      </c>
      <c r="D28" s="3" t="inlineStr">
        <is>
          <t>EO</t>
        </is>
      </c>
      <c r="E28" s="3" t="inlineStr">
        <is>
          <t>I</t>
        </is>
      </c>
    </row>
    <row r="29">
      <c r="A29" s="3" t="n">
        <v>26</v>
      </c>
      <c r="B29" s="3" t="inlineStr">
        <is>
          <t>7. Reportes</t>
        </is>
      </c>
      <c r="C29" s="4" t="inlineStr">
        <is>
          <t>Reporte de buses asignados por línea</t>
        </is>
      </c>
      <c r="D29" s="3" t="inlineStr">
        <is>
          <t>EO</t>
        </is>
      </c>
      <c r="E29" s="3" t="inlineStr">
        <is>
          <t>I</t>
        </is>
      </c>
    </row>
    <row r="30">
      <c r="A30" s="3" t="n">
        <v>27</v>
      </c>
      <c r="B30" s="3" t="inlineStr">
        <is>
          <t>7. Reportes</t>
        </is>
      </c>
      <c r="C30" s="4" t="inlineStr">
        <is>
          <t>Reporte de recorridos (viajes)</t>
        </is>
      </c>
      <c r="D30" s="3" t="inlineStr">
        <is>
          <t>EO</t>
        </is>
      </c>
      <c r="E30" s="3" t="inlineStr">
        <is>
          <t>I</t>
        </is>
      </c>
    </row>
    <row r="31">
      <c r="A31" s="3" t="n">
        <v>28</v>
      </c>
      <c r="B31" s="3" t="inlineStr">
        <is>
          <t>7. Reportes</t>
        </is>
      </c>
      <c r="C31" s="4" t="inlineStr">
        <is>
          <t>Reporte de visitas y ocupación por estación</t>
        </is>
      </c>
      <c r="D31" s="3" t="inlineStr">
        <is>
          <t>EO</t>
        </is>
      </c>
      <c r="E31" s="3" t="inlineStr">
        <is>
          <t>I</t>
        </is>
      </c>
    </row>
    <row r="32">
      <c r="A32" s="3" t="n">
        <v>29</v>
      </c>
      <c r="B32" s="3" t="inlineStr">
        <is>
          <t>7. Reportes</t>
        </is>
      </c>
      <c r="C32" s="4" t="inlineStr">
        <is>
          <t>Exportación CSV e impresión de reportes</t>
        </is>
      </c>
      <c r="D32" s="3" t="inlineStr">
        <is>
          <t>EO</t>
        </is>
      </c>
      <c r="E32" s="3" t="inlineStr">
        <is>
          <t>I</t>
        </is>
      </c>
    </row>
    <row r="33">
      <c r="A33" s="3" t="n">
        <v>30</v>
      </c>
      <c r="B33" s="3" t="inlineStr">
        <is>
          <t>7. Reportes</t>
        </is>
      </c>
      <c r="C33" s="4" t="inlineStr">
        <is>
          <t>Reporte de alertas generadas y atendidas</t>
        </is>
      </c>
      <c r="D33" s="3" t="inlineStr">
        <is>
          <t>EO</t>
        </is>
      </c>
      <c r="E33" s="3" t="inlineStr">
        <is>
          <t>P</t>
        </is>
      </c>
    </row>
    <row r="34">
      <c r="A34" s="3" t="n">
        <v>31</v>
      </c>
      <c r="B34" s="3" t="inlineStr">
        <is>
          <t>7. Reportes</t>
        </is>
      </c>
      <c r="C34" s="4" t="inlineStr">
        <is>
          <t>Reporte de recaudación por método de pago</t>
        </is>
      </c>
      <c r="D34" s="3" t="inlineStr">
        <is>
          <t>EO</t>
        </is>
      </c>
      <c r="E34" s="3" t="inlineStr">
        <is>
          <t>P</t>
        </is>
      </c>
    </row>
    <row r="35">
      <c r="A35" s="3" t="n">
        <v>32</v>
      </c>
      <c r="B35" s="3" t="inlineStr">
        <is>
          <t>7. Reportes</t>
        </is>
      </c>
      <c r="C35" s="4" t="inlineStr">
        <is>
          <t>Reporte de personal asignado</t>
        </is>
      </c>
      <c r="D35" s="3" t="inlineStr">
        <is>
          <t>EO</t>
        </is>
      </c>
      <c r="E35" s="3" t="inlineStr">
        <is>
          <t>P</t>
        </is>
      </c>
    </row>
    <row r="36">
      <c r="A36" s="3" t="n">
        <v>33</v>
      </c>
      <c r="B36" s="3" t="inlineStr">
        <is>
          <t>1. Infraestructura</t>
        </is>
      </c>
      <c r="C36" s="4" t="inlineStr">
        <is>
          <t>Mapa de líneas y estaciones (OpenStreetMap)</t>
        </is>
      </c>
      <c r="D36" s="3" t="inlineStr">
        <is>
          <t>EQ</t>
        </is>
      </c>
      <c r="E36" s="3" t="inlineStr">
        <is>
          <t>I</t>
        </is>
      </c>
    </row>
    <row r="37">
      <c r="A37" s="3" t="n">
        <v>34</v>
      </c>
      <c r="B37" s="3" t="inlineStr">
        <is>
          <t>1. Infraestructura</t>
        </is>
      </c>
      <c r="C37" s="4" t="inlineStr">
        <is>
          <t>Consultar línea: estaciones en orden, accesos y horarios</t>
        </is>
      </c>
      <c r="D37" s="3" t="inlineStr">
        <is>
          <t>EQ</t>
        </is>
      </c>
      <c r="E37" s="3" t="inlineStr">
        <is>
          <t>I</t>
        </is>
      </c>
    </row>
    <row r="38">
      <c r="A38" s="3" t="n">
        <v>35</v>
      </c>
      <c r="B38" s="3" t="inlineStr">
        <is>
          <t>1. Infraestructura</t>
        </is>
      </c>
      <c r="C38" s="4" t="inlineStr">
        <is>
          <t>Consultar estación: accesos, molinetes, guardias y parqueos</t>
        </is>
      </c>
      <c r="D38" s="3" t="inlineStr">
        <is>
          <t>EQ</t>
        </is>
      </c>
      <c r="E38" s="3" t="inlineStr">
        <is>
          <t>I</t>
        </is>
      </c>
    </row>
    <row r="39">
      <c r="A39" s="3" t="n">
        <v>36</v>
      </c>
      <c r="B39" s="3" t="inlineStr">
        <is>
          <t>2. Flota</t>
        </is>
      </c>
      <c r="C39" s="4" t="inlineStr">
        <is>
          <t>Consultar buses y parqueos</t>
        </is>
      </c>
      <c r="D39" s="3" t="inlineStr">
        <is>
          <t>EQ</t>
        </is>
      </c>
      <c r="E39" s="3" t="inlineStr">
        <is>
          <t>I</t>
        </is>
      </c>
    </row>
    <row r="40">
      <c r="A40" s="3" t="n">
        <v>37</v>
      </c>
      <c r="B40" s="3" t="inlineStr">
        <is>
          <t>3. Personal</t>
        </is>
      </c>
      <c r="C40" s="4" t="inlineStr">
        <is>
          <t>Consultar expedientes del personal</t>
        </is>
      </c>
      <c r="D40" s="3" t="inlineStr">
        <is>
          <t>EQ</t>
        </is>
      </c>
      <c r="E40" s="3" t="inlineStr">
        <is>
          <t>I</t>
        </is>
      </c>
    </row>
    <row r="41">
      <c r="A41" s="3" t="n">
        <v>38</v>
      </c>
      <c r="B41" s="3" t="inlineStr">
        <is>
          <t>4. Tarjeta y pagos</t>
        </is>
      </c>
      <c r="C41" s="4" t="inlineStr">
        <is>
          <t>Consultar tarjeta (saldo, viajes gratis, recargas)</t>
        </is>
      </c>
      <c r="D41" s="3" t="inlineStr">
        <is>
          <t>EQ</t>
        </is>
      </c>
      <c r="E41" s="3" t="inlineStr">
        <is>
          <t>I</t>
        </is>
      </c>
    </row>
    <row r="42">
      <c r="A42" s="3" t="n">
        <v>39</v>
      </c>
      <c r="B42" s="3" t="inlineStr">
        <is>
          <t>5. Operación de estación</t>
        </is>
      </c>
      <c r="C42" s="4" t="inlineStr">
        <is>
          <t>Panel del operador (aforo, alertas y buses de su estación)</t>
        </is>
      </c>
      <c r="D42" s="3" t="inlineStr">
        <is>
          <t>EQ</t>
        </is>
      </c>
      <c r="E42" s="3" t="inlineStr">
        <is>
          <t>I</t>
        </is>
      </c>
    </row>
    <row r="43">
      <c r="A43" s="3" t="n">
        <v>40</v>
      </c>
      <c r="B43" s="3" t="inlineStr">
        <is>
          <t>6. Seguridad</t>
        </is>
      </c>
      <c r="C43" s="4" t="inlineStr">
        <is>
          <t>Panel del administrador con indicadores</t>
        </is>
      </c>
      <c r="D43" s="3" t="inlineStr">
        <is>
          <t>EQ</t>
        </is>
      </c>
      <c r="E43" s="3" t="inlineStr">
        <is>
          <t>I</t>
        </is>
      </c>
    </row>
    <row r="44">
      <c r="A44" s="3" t="n">
        <v>41</v>
      </c>
      <c r="B44" s="3" t="inlineStr">
        <is>
          <t>6. Seguridad</t>
        </is>
      </c>
      <c r="C44" s="4" t="inlineStr">
        <is>
          <t>Consultar bitácora de auditoría</t>
        </is>
      </c>
      <c r="D44" s="3" t="inlineStr">
        <is>
          <t>EQ</t>
        </is>
      </c>
      <c r="E44" s="3" t="inlineStr">
        <is>
          <t>P</t>
        </is>
      </c>
    </row>
    <row r="46">
      <c r="C46" s="5" t="inlineStr">
        <is>
          <t>Total entradas externas (EI)</t>
        </is>
      </c>
      <c r="D46" s="5">
        <f>COUNTIF($D$4:$D$44,"EI")</f>
        <v/>
      </c>
    </row>
    <row r="47">
      <c r="C47" s="5" t="inlineStr">
        <is>
          <t>Total salidas externas (EO)</t>
        </is>
      </c>
      <c r="D47" s="5">
        <f>COUNTIF($D$4:$D$44,"EO")</f>
        <v/>
      </c>
    </row>
    <row r="48">
      <c r="C48" s="5" t="inlineStr">
        <is>
          <t>Total consultas externas (EQ)</t>
        </is>
      </c>
      <c r="D48" s="5">
        <f>COUNTIF($D$4:$D$44,"EQ")</f>
        <v/>
      </c>
    </row>
    <row r="49">
      <c r="C49" s="5" t="inlineStr">
        <is>
          <t>Total de transacciones</t>
        </is>
      </c>
      <c r="D49" s="5">
        <f>SUM(D46:D48)</f>
        <v/>
      </c>
    </row>
    <row r="50">
      <c r="C50" s="5" t="inlineStr">
        <is>
          <t>Implementadas</t>
        </is>
      </c>
      <c r="D50" s="5">
        <f>COUNTIF($E$4:$E$44,"I")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12" customWidth="1" min="4" max="4"/>
    <col width="3" customWidth="1" min="5" max="5"/>
    <col width="3" customWidth="1" min="6" max="6"/>
    <col width="34" customWidth="1" min="7" max="7"/>
    <col width="14" customWidth="1" min="8" max="8"/>
  </cols>
  <sheetData>
    <row r="1">
      <c r="A1" s="1" t="inlineStr">
        <is>
          <t>Estimación por Puntos de Función (FPA-IFPUG)</t>
        </is>
      </c>
    </row>
    <row r="3">
      <c r="A3" s="2" t="inlineStr">
        <is>
          <t>Componente</t>
        </is>
      </c>
      <c r="B3" s="2" t="inlineStr">
        <is>
          <t>Cantidad</t>
        </is>
      </c>
      <c r="C3" s="2" t="inlineStr">
        <is>
          <t>Peso (media)</t>
        </is>
      </c>
      <c r="D3" s="2" t="inlineStr">
        <is>
          <t>Subtotal</t>
        </is>
      </c>
      <c r="G3" s="2" t="inlineStr">
        <is>
          <t>Parámetro</t>
        </is>
      </c>
      <c r="H3" s="2" t="inlineStr">
        <is>
          <t>Valor</t>
        </is>
      </c>
    </row>
    <row r="4">
      <c r="A4" s="3" t="inlineStr">
        <is>
          <t>Entradas (EI)</t>
        </is>
      </c>
      <c r="B4" s="3">
        <f>Clasificación!D46</f>
        <v/>
      </c>
      <c r="C4" s="6" t="n">
        <v>4</v>
      </c>
      <c r="D4" s="3">
        <f>B4*C4</f>
        <v/>
      </c>
      <c r="G4" s="3" t="inlineStr">
        <is>
          <t>Sueldo mensual base (Q)</t>
        </is>
      </c>
      <c r="H4" s="7" t="n">
        <v>6000</v>
      </c>
    </row>
    <row r="5">
      <c r="A5" s="3" t="inlineStr">
        <is>
          <t>Salidas (EO)</t>
        </is>
      </c>
      <c r="B5" s="3">
        <f>Clasificación!D47</f>
        <v/>
      </c>
      <c r="C5" s="6" t="n">
        <v>5</v>
      </c>
      <c r="D5" s="3">
        <f>B5*C5</f>
        <v/>
      </c>
      <c r="G5" s="3" t="inlineStr">
        <is>
          <t>Número de trabajadores</t>
        </is>
      </c>
      <c r="H5" s="6" t="n">
        <v>2</v>
      </c>
    </row>
    <row r="6">
      <c r="A6" s="3" t="inlineStr">
        <is>
          <t>Consultas (EQ)</t>
        </is>
      </c>
      <c r="B6" s="3">
        <f>Clasificación!D48</f>
        <v/>
      </c>
      <c r="C6" s="6" t="n">
        <v>4</v>
      </c>
      <c r="D6" s="3">
        <f>B6*C6</f>
        <v/>
      </c>
      <c r="G6" s="3" t="inlineStr">
        <is>
          <t>Horas por jornada</t>
        </is>
      </c>
      <c r="H6" s="6" t="n">
        <v>8</v>
      </c>
    </row>
    <row r="7">
      <c r="A7" s="3" t="inlineStr">
        <is>
          <t>Archivos lógicos internos (ILF)</t>
        </is>
      </c>
      <c r="B7" s="6" t="n">
        <v>14</v>
      </c>
      <c r="C7" s="6" t="n">
        <v>10</v>
      </c>
      <c r="D7" s="3">
        <f>B7*C7</f>
        <v/>
      </c>
      <c r="G7" s="3" t="inlineStr">
        <is>
          <t>Días hábiles por mes</t>
        </is>
      </c>
      <c r="H7" s="6" t="n">
        <v>21</v>
      </c>
    </row>
    <row r="8">
      <c r="A8" s="3" t="inlineStr">
        <is>
          <t>Archivos de interfaz externa (EIF)</t>
        </is>
      </c>
      <c r="B8" s="6" t="n">
        <v>4</v>
      </c>
      <c r="C8" s="6" t="n">
        <v>7</v>
      </c>
      <c r="D8" s="3">
        <f>B8*C8</f>
        <v/>
      </c>
      <c r="G8" s="3" t="inlineStr">
        <is>
          <t>Horas por punto de función</t>
        </is>
      </c>
      <c r="H8" s="6" t="n">
        <v>6</v>
      </c>
    </row>
    <row r="9">
      <c r="A9" s="5" t="inlineStr">
        <is>
          <t>PFSA</t>
        </is>
      </c>
      <c r="D9" s="5">
        <f>SUM(D4:D8)</f>
        <v/>
      </c>
      <c r="G9" s="3" t="inlineStr">
        <is>
          <t>Líneas de código por PF</t>
        </is>
      </c>
      <c r="H9" s="6" t="n">
        <v>50</v>
      </c>
    </row>
    <row r="11">
      <c r="A11" s="2" t="inlineStr">
        <is>
          <t>No.</t>
        </is>
      </c>
      <c r="B11" s="2" t="inlineStr">
        <is>
          <t>Factor de ajuste</t>
        </is>
      </c>
      <c r="C11" s="2" t="inlineStr">
        <is>
          <t>Grado (0-5)</t>
        </is>
      </c>
      <c r="G11" s="2" t="inlineStr">
        <is>
          <t>Otros costos mensuales</t>
        </is>
      </c>
      <c r="H11" s="2" t="inlineStr">
        <is>
          <t>Q</t>
        </is>
      </c>
    </row>
    <row r="12">
      <c r="A12" s="3" t="n">
        <v>1</v>
      </c>
      <c r="B12" s="3" t="inlineStr">
        <is>
          <t>Comunicación de datos</t>
        </is>
      </c>
      <c r="C12" s="6" t="n">
        <v>5</v>
      </c>
      <c r="G12" s="3" t="inlineStr">
        <is>
          <t>Transporte</t>
        </is>
      </c>
      <c r="H12" s="7" t="n">
        <v>400</v>
      </c>
    </row>
    <row r="13">
      <c r="A13" s="3" t="n">
        <v>2</v>
      </c>
      <c r="B13" s="3" t="inlineStr">
        <is>
          <t>Proceso distribuido</t>
        </is>
      </c>
      <c r="C13" s="6" t="n">
        <v>4</v>
      </c>
      <c r="G13" s="3" t="inlineStr">
        <is>
          <t>Alimentación</t>
        </is>
      </c>
      <c r="H13" s="7" t="n">
        <v>350</v>
      </c>
    </row>
    <row r="14">
      <c r="A14" s="3" t="n">
        <v>3</v>
      </c>
      <c r="B14" s="3" t="inlineStr">
        <is>
          <t>Objetivos de rendimiento</t>
        </is>
      </c>
      <c r="C14" s="6" t="n">
        <v>4</v>
      </c>
      <c r="G14" s="3" t="inlineStr">
        <is>
          <t>Conectividad y nube de desarrollo</t>
        </is>
      </c>
      <c r="H14" s="7" t="n">
        <v>500</v>
      </c>
    </row>
    <row r="15">
      <c r="A15" s="3" t="n">
        <v>4</v>
      </c>
      <c r="B15" s="3" t="inlineStr">
        <is>
          <t>Configuración del equipamiento</t>
        </is>
      </c>
      <c r="C15" s="6" t="n">
        <v>3</v>
      </c>
      <c r="G15" s="5" t="inlineStr">
        <is>
          <t>Total otros costos por mes</t>
        </is>
      </c>
      <c r="H15" s="8">
        <f>SUM(H12:H14)</f>
        <v/>
      </c>
    </row>
    <row r="16">
      <c r="A16" s="3" t="n">
        <v>5</v>
      </c>
      <c r="B16" s="3" t="inlineStr">
        <is>
          <t>Tasa de transacción</t>
        </is>
      </c>
      <c r="C16" s="6" t="n">
        <v>4</v>
      </c>
    </row>
    <row r="17">
      <c r="A17" s="3" t="n">
        <v>6</v>
      </c>
      <c r="B17" s="3" t="inlineStr">
        <is>
          <t>Entrada de datos en línea</t>
        </is>
      </c>
      <c r="C17" s="6" t="n">
        <v>5</v>
      </c>
    </row>
    <row r="18">
      <c r="A18" s="3" t="n">
        <v>7</v>
      </c>
      <c r="B18" s="3" t="inlineStr">
        <is>
          <t>Interfaz con el usuario</t>
        </is>
      </c>
      <c r="C18" s="6" t="n">
        <v>4</v>
      </c>
    </row>
    <row r="19">
      <c r="A19" s="3" t="n">
        <v>8</v>
      </c>
      <c r="B19" s="3" t="inlineStr">
        <is>
          <t>Actualizaciones en línea</t>
        </is>
      </c>
      <c r="C19" s="6" t="n">
        <v>5</v>
      </c>
    </row>
    <row r="20">
      <c r="A20" s="3" t="n">
        <v>9</v>
      </c>
      <c r="B20" s="3" t="inlineStr">
        <is>
          <t>Procesamiento complejo</t>
        </is>
      </c>
      <c r="C20" s="6" t="n">
        <v>4</v>
      </c>
    </row>
    <row r="21">
      <c r="A21" s="3" t="n">
        <v>10</v>
      </c>
      <c r="B21" s="3" t="inlineStr">
        <is>
          <t>Reusabilidad del código</t>
        </is>
      </c>
      <c r="C21" s="6" t="n">
        <v>4</v>
      </c>
    </row>
    <row r="22">
      <c r="A22" s="3" t="n">
        <v>11</v>
      </c>
      <c r="B22" s="3" t="inlineStr">
        <is>
          <t>Conversión e instalación</t>
        </is>
      </c>
      <c r="C22" s="6" t="n">
        <v>3</v>
      </c>
    </row>
    <row r="23">
      <c r="A23" s="3" t="n">
        <v>12</v>
      </c>
      <c r="B23" s="3" t="inlineStr">
        <is>
          <t>Facilidad de operación</t>
        </is>
      </c>
      <c r="C23" s="6" t="n">
        <v>4</v>
      </c>
    </row>
    <row r="24">
      <c r="A24" s="3" t="n">
        <v>13</v>
      </c>
      <c r="B24" s="3" t="inlineStr">
        <is>
          <t>Instalación múltiple</t>
        </is>
      </c>
      <c r="C24" s="6" t="n">
        <v>4</v>
      </c>
    </row>
    <row r="25">
      <c r="A25" s="3" t="n">
        <v>14</v>
      </c>
      <c r="B25" s="3" t="inlineStr">
        <is>
          <t>Facilidad de cambios</t>
        </is>
      </c>
      <c r="C25" s="6" t="n">
        <v>4</v>
      </c>
    </row>
    <row r="26">
      <c r="B26" s="5" t="inlineStr">
        <is>
          <t>Suma de factores</t>
        </is>
      </c>
      <c r="C26" s="5">
        <f>SUM(C12:C25)</f>
        <v/>
      </c>
    </row>
    <row r="28">
      <c r="A28" s="2" t="inlineStr">
        <is>
          <t>Resultado</t>
        </is>
      </c>
      <c r="B28" s="2" t="inlineStr">
        <is>
          <t>Valor</t>
        </is>
      </c>
      <c r="C28" s="2" t="inlineStr">
        <is>
          <t>Fórmula</t>
        </is>
      </c>
    </row>
    <row r="29">
      <c r="A29" s="3" t="inlineStr">
        <is>
          <t>Factor de ajuste (FA)</t>
        </is>
      </c>
      <c r="B29" s="9">
        <f>0.65+0.01*C26</f>
        <v/>
      </c>
      <c r="C29" s="3" t="inlineStr">
        <is>
          <t>0.65 + 0.01 × suma de factores</t>
        </is>
      </c>
    </row>
    <row r="30">
      <c r="A30" s="3" t="inlineStr">
        <is>
          <t>PFA</t>
        </is>
      </c>
      <c r="B30" s="10">
        <f>D9*B29</f>
        <v/>
      </c>
      <c r="C30" s="3" t="inlineStr">
        <is>
          <t>PFSA × FA</t>
        </is>
      </c>
    </row>
    <row r="31">
      <c r="A31" s="3" t="inlineStr">
        <is>
          <t>Horas hombre (H/H)</t>
        </is>
      </c>
      <c r="B31" s="10">
        <f>B30*H8</f>
        <v/>
      </c>
      <c r="C31" s="3" t="inlineStr">
        <is>
          <t>PFA × horas por PF</t>
        </is>
      </c>
    </row>
    <row r="32">
      <c r="A32" s="3" t="inlineStr">
        <is>
          <t>Horas por trabajador</t>
        </is>
      </c>
      <c r="B32" s="10">
        <f>B31/H5</f>
        <v/>
      </c>
      <c r="C32" s="3" t="inlineStr">
        <is>
          <t>H/H ÷ trabajadores</t>
        </is>
      </c>
    </row>
    <row r="33">
      <c r="A33" s="3" t="inlineStr">
        <is>
          <t>Tiempo (meses)</t>
        </is>
      </c>
      <c r="B33" s="11">
        <f>B32/(H6*H7)</f>
        <v/>
      </c>
      <c r="C33" s="3" t="inlineStr">
        <is>
          <t>Horas ÷ (jornada × días)</t>
        </is>
      </c>
    </row>
    <row r="34">
      <c r="A34" s="3" t="inlineStr">
        <is>
          <t>Líneas de código estimadas</t>
        </is>
      </c>
      <c r="B34" s="12">
        <f>B30*H9</f>
        <v/>
      </c>
      <c r="C34" s="3" t="inlineStr">
        <is>
          <t>PFA × LOC por PF</t>
        </is>
      </c>
    </row>
    <row r="35">
      <c r="A35" s="3" t="inlineStr">
        <is>
          <t>Sueldos</t>
        </is>
      </c>
      <c r="B35" s="13">
        <f>B33*H4*H5</f>
        <v/>
      </c>
      <c r="C35" s="3" t="inlineStr">
        <is>
          <t>Meses × sueldo × trabajadores</t>
        </is>
      </c>
    </row>
    <row r="36">
      <c r="A36" s="3" t="inlineStr">
        <is>
          <t>Otros costos</t>
        </is>
      </c>
      <c r="B36" s="13">
        <f>B33*H15</f>
        <v/>
      </c>
      <c r="C36" s="3" t="inlineStr">
        <is>
          <t>Meses × otros costos mensuales</t>
        </is>
      </c>
    </row>
    <row r="37">
      <c r="A37" s="5" t="inlineStr">
        <is>
          <t>Costo de desarrollo</t>
        </is>
      </c>
      <c r="B37" s="8">
        <f>B35+B36</f>
        <v/>
      </c>
      <c r="C37" s="3" t="inlineStr">
        <is>
          <t>Sueldos + otros</t>
        </is>
      </c>
    </row>
    <row r="38">
      <c r="A38" s="3" t="inlineStr">
        <is>
          <t>Precio por hora</t>
        </is>
      </c>
      <c r="B38" s="13">
        <f>B37/B31</f>
        <v/>
      </c>
      <c r="C38" s="3" t="inlineStr">
        <is>
          <t>Costo ÷ H/H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20" customWidth="1" min="3" max="3"/>
    <col width="20" customWidth="1" min="4" max="4"/>
  </cols>
  <sheetData>
    <row r="1">
      <c r="A1" s="1" t="inlineStr">
        <is>
          <t>Propuesta monetaria – resumen</t>
        </is>
      </c>
    </row>
    <row r="2">
      <c r="A2" s="3" t="inlineStr">
        <is>
          <t>Tipo de cambio (Q por US$1, Banguat 28/09/2026)</t>
        </is>
      </c>
      <c r="B2" s="6" t="n">
        <v>7.63</v>
      </c>
    </row>
    <row r="4">
      <c r="A4" s="2" t="inlineStr">
        <is>
          <t>Integración</t>
        </is>
      </c>
      <c r="B4" s="2" t="inlineStr">
        <is>
          <t>Horas</t>
        </is>
      </c>
      <c r="C4" s="2" t="inlineStr">
        <is>
          <t>Costo por hora</t>
        </is>
      </c>
      <c r="D4" s="2" t="inlineStr">
        <is>
          <t>Total</t>
        </is>
      </c>
    </row>
    <row r="5">
      <c r="A5" s="4" t="inlineStr">
        <is>
          <t>Análisis de la operación y arquitectura (Render + Supabase)</t>
        </is>
      </c>
      <c r="B5" s="6" t="n">
        <v>55</v>
      </c>
      <c r="C5" s="7" t="n">
        <v>100</v>
      </c>
      <c r="D5" s="13">
        <f>B5*C5</f>
        <v/>
      </c>
    </row>
    <row r="6">
      <c r="A6" s="4" t="inlineStr">
        <is>
          <t>Pruebas de software QA (funcionales, carga, seguridad y SonarQube Cloud)</t>
        </is>
      </c>
      <c r="B6" s="6" t="n">
        <v>60</v>
      </c>
      <c r="C6" s="7" t="n">
        <v>85</v>
      </c>
      <c r="D6" s="13">
        <f>B6*C6</f>
        <v/>
      </c>
    </row>
    <row r="7">
      <c r="A7" s="4" t="inlineStr">
        <is>
          <t>Capacitación de administradores y operadores</t>
        </is>
      </c>
      <c r="B7" s="6" t="n">
        <v>24</v>
      </c>
      <c r="C7" s="7" t="n">
        <v>125</v>
      </c>
      <c r="D7" s="13">
        <f>B7*C7</f>
        <v/>
      </c>
    </row>
    <row r="8">
      <c r="A8" s="5" t="inlineStr">
        <is>
          <t>Total integración</t>
        </is>
      </c>
      <c r="D8" s="8">
        <f>SUM(D5:D7)</f>
        <v/>
      </c>
    </row>
    <row r="10">
      <c r="A10" s="2" t="inlineStr">
        <is>
          <t>Nube (anual)</t>
        </is>
      </c>
      <c r="B10" s="2" t="inlineStr">
        <is>
          <t>US$ por año</t>
        </is>
      </c>
      <c r="C10" s="2" t="inlineStr"/>
      <c r="D10" s="2" t="inlineStr">
        <is>
          <t>Q por año</t>
        </is>
      </c>
    </row>
    <row r="11">
      <c r="A11" s="4" t="inlineStr">
        <is>
          <t>Render – Web Service Starter (512 MB, siempre activo)</t>
        </is>
      </c>
      <c r="B11" s="14" t="n">
        <v>84</v>
      </c>
      <c r="D11" s="13">
        <f>B11*$B$2</f>
        <v/>
      </c>
    </row>
    <row r="12">
      <c r="A12" s="4" t="inlineStr">
        <is>
          <t>Supabase – plan Pro (respaldos diarios, sin pausa)</t>
        </is>
      </c>
      <c r="B12" s="14" t="n">
        <v>300</v>
      </c>
      <c r="D12" s="13">
        <f>B12*$B$2</f>
        <v/>
      </c>
    </row>
    <row r="13">
      <c r="A13" s="4" t="inlineStr">
        <is>
          <t>Dominio .com y certificado TLS (incluido en Render)</t>
        </is>
      </c>
      <c r="B13" s="14" t="n">
        <v>15</v>
      </c>
      <c r="D13" s="13">
        <f>B13*$B$2</f>
        <v/>
      </c>
    </row>
    <row r="14">
      <c r="A14" s="5" t="inlineStr">
        <is>
          <t>Total nube anual</t>
        </is>
      </c>
      <c r="D14" s="8">
        <f>SUM(D11:D13)</f>
        <v/>
      </c>
    </row>
    <row r="16">
      <c r="A16" s="2" t="inlineStr">
        <is>
          <t>Resumen de la propuesta</t>
        </is>
      </c>
      <c r="B16" s="2" t="inlineStr"/>
      <c r="C16" s="2" t="inlineStr"/>
      <c r="D16" s="2" t="inlineStr">
        <is>
          <t>Monto</t>
        </is>
      </c>
    </row>
    <row r="17">
      <c r="A17" s="3" t="inlineStr">
        <is>
          <t>Desarrollo del software</t>
        </is>
      </c>
      <c r="D17" s="13">
        <f>FPA!B37</f>
        <v/>
      </c>
    </row>
    <row r="18">
      <c r="A18" s="3" t="inlineStr">
        <is>
          <t>Integración</t>
        </is>
      </c>
      <c r="D18" s="13">
        <f>D8</f>
        <v/>
      </c>
    </row>
    <row r="19">
      <c r="A19" s="3" t="inlineStr">
        <is>
          <t>Nube, primer año</t>
        </is>
      </c>
      <c r="D19" s="13">
        <f>D14</f>
        <v/>
      </c>
    </row>
    <row r="20">
      <c r="A20" s="5" t="inlineStr">
        <is>
          <t>Subtotal</t>
        </is>
      </c>
      <c r="D20" s="8">
        <f>SUM(D17:D19)</f>
        <v/>
      </c>
    </row>
    <row r="21">
      <c r="A21" s="3" t="inlineStr">
        <is>
          <t>IVA (12 %)</t>
        </is>
      </c>
      <c r="D21" s="13">
        <f>D20*0.12</f>
        <v/>
      </c>
    </row>
    <row r="22">
      <c r="A22" s="5" t="inlineStr">
        <is>
          <t>Total de la propuesta</t>
        </is>
      </c>
      <c r="D22" s="8">
        <f>D20+D21</f>
        <v/>
      </c>
    </row>
    <row r="23">
      <c r="A23" s="3" t="inlineStr">
        <is>
          <t>Mantenimiento anual (10 % del desarrollo)</t>
        </is>
      </c>
      <c r="D23" s="13">
        <f>D17*0.1</f>
        <v/>
      </c>
    </row>
    <row r="24">
      <c r="A24" s="3" t="inlineStr">
        <is>
          <t>Costo recurrente anual (nube + mantenimiento)</t>
        </is>
      </c>
      <c r="D24" s="13">
        <f>D14+D23</f>
        <v/>
      </c>
    </row>
    <row r="26">
      <c r="A26" s="2" t="inlineStr">
        <is>
          <t>Equipo de estaciones (municipalidad, referencial)</t>
        </is>
      </c>
      <c r="B26" s="2" t="inlineStr">
        <is>
          <t>Precio unitario</t>
        </is>
      </c>
      <c r="C26" s="2" t="inlineStr">
        <is>
          <t>Piloto L1 y L2 (14)</t>
        </is>
      </c>
      <c r="D26" s="2" t="inlineStr">
        <is>
          <t>Red completa (121)</t>
        </is>
      </c>
    </row>
    <row r="27">
      <c r="A27" s="3" t="inlineStr">
        <is>
          <t>Estaciones</t>
        </is>
      </c>
      <c r="C27" s="6" t="n">
        <v>14</v>
      </c>
      <c r="D27" s="6" t="n">
        <v>121</v>
      </c>
    </row>
    <row r="28">
      <c r="A28" s="3" t="inlineStr">
        <is>
          <t>PC de trabajo</t>
        </is>
      </c>
      <c r="B28" s="7" t="n">
        <v>4500</v>
      </c>
      <c r="C28" s="13">
        <f>B28*$C$27</f>
        <v/>
      </c>
      <c r="D28" s="13">
        <f>B28*$D$27</f>
        <v/>
      </c>
    </row>
    <row r="29">
      <c r="A29" s="3" t="inlineStr">
        <is>
          <t>UPS</t>
        </is>
      </c>
      <c r="B29" s="7" t="n">
        <v>750</v>
      </c>
      <c r="C29" s="13">
        <f>B29*$C$27</f>
        <v/>
      </c>
      <c r="D29" s="13">
        <f>B29*$D$27</f>
        <v/>
      </c>
    </row>
    <row r="30">
      <c r="A30" s="3" t="inlineStr">
        <is>
          <t>Internet por estación (anual)</t>
        </is>
      </c>
      <c r="B30" s="7" t="n">
        <v>3600</v>
      </c>
      <c r="C30" s="13">
        <f>B30*$C$27</f>
        <v/>
      </c>
      <c r="D30" s="13">
        <f>B30*$D$27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2026-10-01T00:52:00Z</dcterms:created>
  <dcterms:modified xmlns:dcterms="http://purl.org/dc/terms/" xmlns:xsi="http://www.w3.org/2001/XMLSchema-instance" xsi:type="dcterms:W3CDTF">2026-10-01T00:52:00Z</dcterms:modified>
</cp:coreProperties>
</file>